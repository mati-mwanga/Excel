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Matias\Privado\EXCEL\Proyecto 6\"/>
    </mc:Choice>
  </mc:AlternateContent>
  <xr:revisionPtr revIDLastSave="0" documentId="13_ncr:1_{A1181E89-C8BF-4714-B713-D3BECB7D76A7}" xr6:coauthVersionLast="47" xr6:coauthVersionMax="47" xr10:uidLastSave="{00000000-0000-0000-0000-000000000000}"/>
  <bookViews>
    <workbookView xWindow="-120" yWindow="-120" windowWidth="24240" windowHeight="13140" activeTab="1" xr2:uid="{122FC59C-9113-4290-85B2-67FA6A2525EC}"/>
  </bookViews>
  <sheets>
    <sheet name="Inventario" sheetId="1" r:id="rId1"/>
    <sheet name="Servicio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8" i="3" l="1"/>
  <c r="G18" i="3" s="1"/>
  <c r="G17" i="3"/>
  <c r="F9" i="3"/>
  <c r="G9" i="3" s="1"/>
  <c r="F10" i="3"/>
  <c r="G10" i="3" s="1"/>
  <c r="F11" i="3"/>
  <c r="G11" i="3" s="1"/>
  <c r="F12" i="3"/>
  <c r="G12" i="3" s="1"/>
  <c r="F13" i="3"/>
  <c r="G13" i="3" s="1"/>
  <c r="F14" i="3"/>
  <c r="G14" i="3" s="1"/>
  <c r="F15" i="3"/>
  <c r="G15" i="3" s="1"/>
  <c r="F16" i="3"/>
  <c r="G16" i="3" s="1"/>
  <c r="F17" i="3"/>
  <c r="F8" i="3"/>
  <c r="G8" i="3" s="1"/>
  <c r="H15" i="1"/>
  <c r="I15" i="1"/>
  <c r="D17" i="1"/>
  <c r="D18" i="1"/>
  <c r="D19" i="1"/>
  <c r="D20" i="1"/>
  <c r="D21" i="1"/>
  <c r="D22" i="1"/>
  <c r="D23" i="1"/>
  <c r="H14" i="1"/>
  <c r="I14" i="1"/>
  <c r="I10" i="1"/>
  <c r="I11" i="1"/>
  <c r="I12" i="1"/>
  <c r="I13" i="1"/>
  <c r="I9" i="1"/>
  <c r="C23" i="1"/>
  <c r="C22" i="1"/>
  <c r="C21" i="1"/>
  <c r="C20" i="1"/>
  <c r="M14" i="1"/>
  <c r="M13" i="1"/>
  <c r="M12" i="1"/>
  <c r="D9" i="1"/>
  <c r="D10" i="1"/>
  <c r="D11" i="1"/>
  <c r="D12" i="1"/>
  <c r="D13" i="1"/>
  <c r="D14" i="1"/>
  <c r="D15" i="1"/>
  <c r="D16" i="1"/>
  <c r="C9" i="1"/>
  <c r="C10" i="1"/>
  <c r="C11" i="1"/>
  <c r="E11" i="1" s="1"/>
  <c r="C12" i="1"/>
  <c r="E12" i="1" s="1"/>
  <c r="C13" i="1"/>
  <c r="C14" i="1"/>
  <c r="C15" i="1"/>
  <c r="C16" i="1"/>
  <c r="C17" i="1"/>
  <c r="E17" i="1" s="1"/>
  <c r="C18" i="1"/>
  <c r="E18" i="1" s="1"/>
  <c r="C19" i="1"/>
  <c r="E19" i="1" s="1"/>
  <c r="H13" i="1"/>
  <c r="H12" i="1"/>
  <c r="M11" i="1"/>
  <c r="M10" i="1"/>
  <c r="M9" i="1"/>
  <c r="H10" i="1"/>
  <c r="H11" i="1"/>
  <c r="H9" i="1"/>
  <c r="G6" i="3" l="1"/>
  <c r="F6" i="3"/>
  <c r="E22" i="1"/>
  <c r="E23" i="1"/>
  <c r="E10" i="1"/>
  <c r="E9" i="1"/>
  <c r="E20" i="1"/>
  <c r="E21" i="1"/>
  <c r="E15" i="1"/>
  <c r="E16" i="1"/>
  <c r="E14" i="1"/>
  <c r="E13" i="1"/>
</calcChain>
</file>

<file path=xl/sharedStrings.xml><?xml version="1.0" encoding="utf-8"?>
<sst xmlns="http://schemas.openxmlformats.org/spreadsheetml/2006/main" count="88" uniqueCount="69">
  <si>
    <t>Código</t>
  </si>
  <si>
    <t>Artículo</t>
  </si>
  <si>
    <t>A001</t>
  </si>
  <si>
    <t>Detergente</t>
  </si>
  <si>
    <t>A002</t>
  </si>
  <si>
    <t>Desinfectante</t>
  </si>
  <si>
    <t>A003</t>
  </si>
  <si>
    <t>Limpiavidrios</t>
  </si>
  <si>
    <t>A004</t>
  </si>
  <si>
    <t>Jabón líquido</t>
  </si>
  <si>
    <t>A005</t>
  </si>
  <si>
    <t>Cloro</t>
  </si>
  <si>
    <t>A006</t>
  </si>
  <si>
    <t>Limpiador multiusos</t>
  </si>
  <si>
    <t>A007</t>
  </si>
  <si>
    <t>Limpiador de pisos</t>
  </si>
  <si>
    <t>A008</t>
  </si>
  <si>
    <t>Esponjas</t>
  </si>
  <si>
    <t>A009</t>
  </si>
  <si>
    <t>Escobas</t>
  </si>
  <si>
    <t>A010</t>
  </si>
  <si>
    <t>Trapos</t>
  </si>
  <si>
    <t>A011</t>
  </si>
  <si>
    <t>Toallas de papel</t>
  </si>
  <si>
    <t>A012</t>
  </si>
  <si>
    <t>Sacudidores</t>
  </si>
  <si>
    <t>A013</t>
  </si>
  <si>
    <t>Desengrasante</t>
  </si>
  <si>
    <t>A014</t>
  </si>
  <si>
    <t>Pulidor de muebles</t>
  </si>
  <si>
    <t>A015</t>
  </si>
  <si>
    <t>Limpiador de baños</t>
  </si>
  <si>
    <t>Entradas</t>
  </si>
  <si>
    <t>Stock</t>
  </si>
  <si>
    <t>Codigo</t>
  </si>
  <si>
    <t>Articulo</t>
  </si>
  <si>
    <t>Fecha</t>
  </si>
  <si>
    <t>Cantidad</t>
  </si>
  <si>
    <t>Salidas</t>
  </si>
  <si>
    <t>CONTROL DE SERVICIOS</t>
  </si>
  <si>
    <t>SUBTOTAL T</t>
  </si>
  <si>
    <t>SUBTOTAL S</t>
  </si>
  <si>
    <t>FECHA</t>
  </si>
  <si>
    <t>NOMBRE DEL TRABAJADOR</t>
  </si>
  <si>
    <t>DESCRIPCION DEL SERVICIO</t>
  </si>
  <si>
    <t>VALOR DEL SERVICIO</t>
  </si>
  <si>
    <t>% DEL TRABAJADOR</t>
  </si>
  <si>
    <t>VALOR LOCAL</t>
  </si>
  <si>
    <t>Juan</t>
  </si>
  <si>
    <t>Limpieza de casa</t>
  </si>
  <si>
    <t>María</t>
  </si>
  <si>
    <t>Reparación de plomería</t>
  </si>
  <si>
    <t>Carlos</t>
  </si>
  <si>
    <t>Pintura de paredes</t>
  </si>
  <si>
    <t>Ana</t>
  </si>
  <si>
    <t>Instalación de electricidad</t>
  </si>
  <si>
    <t>Pedro</t>
  </si>
  <si>
    <t>Limpieza de jardín</t>
  </si>
  <si>
    <t>Laura</t>
  </si>
  <si>
    <t>Mantenimiento de aire acondicionado</t>
  </si>
  <si>
    <t>Javier</t>
  </si>
  <si>
    <t>Reparación de techo</t>
  </si>
  <si>
    <t>Teresa</t>
  </si>
  <si>
    <t>Plomería para baño</t>
  </si>
  <si>
    <t>David</t>
  </si>
  <si>
    <t>Limpieza de alfombras</t>
  </si>
  <si>
    <t>VALOR TRABADOR</t>
  </si>
  <si>
    <t>José</t>
  </si>
  <si>
    <t>María Eugenia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</si>
</sst>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2C0A]\ #,##0.00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0" borderId="0" xfId="0" applyNumberFormat="1"/>
    <xf numFmtId="14" fontId="0" fillId="0" borderId="0" xfId="0" applyNumberFormat="1"/>
    <xf numFmtId="164" fontId="0" fillId="3" borderId="1" xfId="0" applyNumberFormat="1" applyFill="1" applyBorder="1"/>
    <xf numFmtId="164" fontId="0" fillId="0" borderId="0" xfId="0" applyNumberFormat="1"/>
    <xf numFmtId="9" fontId="0" fillId="0" borderId="0" xfId="0" applyNumberFormat="1"/>
    <xf numFmtId="0" fontId="0" fillId="4" borderId="0" xfId="0" applyFill="1"/>
    <xf numFmtId="0" fontId="0" fillId="5" borderId="0" xfId="0" applyFill="1"/>
    <xf numFmtId="0" fontId="0" fillId="6" borderId="0" xfId="0" applyFill="1"/>
    <xf numFmtId="164" fontId="0" fillId="2" borderId="0" xfId="0" applyNumberFormat="1" applyFill="1"/>
    <xf numFmtId="9" fontId="0" fillId="2" borderId="0" xfId="0" applyNumberFormat="1" applyFill="1"/>
    <xf numFmtId="0" fontId="2" fillId="4" borderId="0" xfId="0" applyFont="1" applyFill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64" fontId="0" fillId="6" borderId="1" xfId="0" applyNumberFormat="1" applyFill="1" applyBorder="1"/>
  </cellXfs>
  <cellStyles count="1">
    <cellStyle name="Normal" xfId="0" builtinId="0"/>
  </cellStyles>
  <dxfs count="8">
    <dxf>
      <numFmt numFmtId="164" formatCode="[$$-2C0A]\ #,##0.00"/>
    </dxf>
    <dxf>
      <numFmt numFmtId="164" formatCode="[$$-2C0A]\ #,##0.00"/>
    </dxf>
    <dxf>
      <numFmt numFmtId="13" formatCode="0%"/>
    </dxf>
    <dxf>
      <numFmt numFmtId="164" formatCode="[$$-2C0A]\ #,##0.00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Servicio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Inventar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9525</xdr:rowOff>
    </xdr:from>
    <xdr:to>
      <xdr:col>4</xdr:col>
      <xdr:colOff>752475</xdr:colOff>
      <xdr:row>6</xdr:row>
      <xdr:rowOff>180975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1BA8877-5863-4FD6-949E-240916A70108}"/>
            </a:ext>
          </a:extLst>
        </xdr:cNvPr>
        <xdr:cNvSpPr/>
      </xdr:nvSpPr>
      <xdr:spPr>
        <a:xfrm>
          <a:off x="0" y="771525"/>
          <a:ext cx="4905375" cy="552450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="1"/>
            <a:t>PRODUCTOS</a:t>
          </a:r>
        </a:p>
      </xdr:txBody>
    </xdr:sp>
    <xdr:clientData/>
  </xdr:twoCellAnchor>
  <xdr:twoCellAnchor>
    <xdr:from>
      <xdr:col>6</xdr:col>
      <xdr:colOff>9525</xdr:colOff>
      <xdr:row>4</xdr:row>
      <xdr:rowOff>9525</xdr:rowOff>
    </xdr:from>
    <xdr:to>
      <xdr:col>10</xdr:col>
      <xdr:colOff>0</xdr:colOff>
      <xdr:row>6</xdr:row>
      <xdr:rowOff>180975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C3643AB-6F79-4315-8A60-DABF44F6864C}"/>
            </a:ext>
          </a:extLst>
        </xdr:cNvPr>
        <xdr:cNvSpPr/>
      </xdr:nvSpPr>
      <xdr:spPr>
        <a:xfrm>
          <a:off x="5048250" y="771525"/>
          <a:ext cx="3486150" cy="5524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="1"/>
            <a:t>ENTRADAS</a:t>
          </a:r>
        </a:p>
      </xdr:txBody>
    </xdr:sp>
    <xdr:clientData/>
  </xdr:twoCellAnchor>
  <xdr:twoCellAnchor>
    <xdr:from>
      <xdr:col>10</xdr:col>
      <xdr:colOff>122464</xdr:colOff>
      <xdr:row>4</xdr:row>
      <xdr:rowOff>0</xdr:rowOff>
    </xdr:from>
    <xdr:to>
      <xdr:col>15</xdr:col>
      <xdr:colOff>9525</xdr:colOff>
      <xdr:row>6</xdr:row>
      <xdr:rowOff>171450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B8B18C0-369E-43D0-BAAA-BE8282661B8F}"/>
            </a:ext>
          </a:extLst>
        </xdr:cNvPr>
        <xdr:cNvSpPr/>
      </xdr:nvSpPr>
      <xdr:spPr>
        <a:xfrm>
          <a:off x="8660946" y="762000"/>
          <a:ext cx="3479347" cy="5524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800" b="1"/>
            <a:t>SALIDAS</a:t>
          </a:r>
        </a:p>
      </xdr:txBody>
    </xdr:sp>
    <xdr:clientData/>
  </xdr:twoCellAnchor>
  <xdr:twoCellAnchor>
    <xdr:from>
      <xdr:col>1</xdr:col>
      <xdr:colOff>685800</xdr:colOff>
      <xdr:row>33</xdr:row>
      <xdr:rowOff>133350</xdr:rowOff>
    </xdr:from>
    <xdr:to>
      <xdr:col>3</xdr:col>
      <xdr:colOff>57150</xdr:colOff>
      <xdr:row>37</xdr:row>
      <xdr:rowOff>85725</xdr:rowOff>
    </xdr:to>
    <xdr:sp macro="[0]!AgregarNuevoArticulo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BB7BEA86-4A28-4B20-8636-CF70934F93BF}"/>
            </a:ext>
          </a:extLst>
        </xdr:cNvPr>
        <xdr:cNvSpPr/>
      </xdr:nvSpPr>
      <xdr:spPr>
        <a:xfrm>
          <a:off x="1447800" y="6419850"/>
          <a:ext cx="2000250" cy="714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800"/>
            <a:t>nuevo Articulo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1257300</xdr:colOff>
      <xdr:row>3</xdr:row>
      <xdr:rowOff>123825</xdr:rowOff>
    </xdr:to>
    <xdr:sp macro="" textlink="">
      <xdr:nvSpPr>
        <xdr:cNvPr id="5" name="Flecha: a la derecha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6695F6-A5C0-49AF-B3D5-8A78D0595A69}"/>
            </a:ext>
          </a:extLst>
        </xdr:cNvPr>
        <xdr:cNvSpPr/>
      </xdr:nvSpPr>
      <xdr:spPr>
        <a:xfrm>
          <a:off x="0" y="0"/>
          <a:ext cx="3295650" cy="6953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2000" b="1"/>
            <a:t>SERVICIOS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951657</xdr:colOff>
      <xdr:row>3</xdr:row>
      <xdr:rowOff>178373</xdr:rowOff>
    </xdr:to>
    <xdr:pic>
      <xdr:nvPicPr>
        <xdr:cNvPr id="3" name="Imagen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3583355-FC2C-4C73-BB04-58D6FB06A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3456732" cy="74987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DBB907-6086-4450-96B8-F2935C22DAA6}" name="TablaProductos" displayName="TablaProductos" ref="A8:E36" insertRowShift="1" totalsRowShown="0">
  <autoFilter ref="A8:E36" xr:uid="{18DBB907-6086-4450-96B8-F2935C22DAA6}"/>
  <tableColumns count="5">
    <tableColumn id="1" xr3:uid="{186202DC-EFFF-4B15-843F-860088DCA7A8}" name="Código"/>
    <tableColumn id="2" xr3:uid="{9522380F-F1F6-490A-9BE9-20A5186685EB}" name="Artículo"/>
    <tableColumn id="3" xr3:uid="{DBF457E0-6F8B-44C7-8E45-6A52534B72AA}" name="Entradas" dataDxfId="7">
      <calculatedColumnFormula>SUMIF(TablaEntradas[Codigo], TablaProductos[[#This Row],[Código]], TablaEntradas[Cantidad])</calculatedColumnFormula>
    </tableColumn>
    <tableColumn id="4" xr3:uid="{84BE8107-B720-4EE8-9E9A-3895178574AD}" name="Salidas" dataDxfId="6">
      <calculatedColumnFormula>SUMIF(TablaSalidas[Codigo], TablaProductos[[#This Row],[Código]], TablaSalidas[Cantidad])</calculatedColumnFormula>
    </tableColumn>
    <tableColumn id="5" xr3:uid="{4943D2C0-6679-4B9F-A107-D98D72AB0FEC}" name="Stock" dataDxfId="5">
      <calculatedColumnFormula>TablaProductos[[#This Row],[Entradas]]-TablaProductos[[#This Row],[Salidas]]</calculatedColumnFormula>
    </tableColumn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C90DE09-21AC-45BE-9B25-5F9A1B15A574}" name="TablaEntradas" displayName="TablaEntradas" ref="G8:J15" totalsRowShown="0">
  <autoFilter ref="G8:J15" xr:uid="{7C90DE09-21AC-45BE-9B25-5F9A1B15A574}"/>
  <tableColumns count="4">
    <tableColumn id="1" xr3:uid="{FF358CDB-E931-472D-BCBC-BFA0EA4A65DB}" name="Codigo"/>
    <tableColumn id="2" xr3:uid="{E7010BE8-76AF-4A42-A5F8-27C472F4F534}" name="Articulo">
      <calculatedColumnFormula>IFERROR(VLOOKUP(TablaEntradas[[#This Row],[Codigo]],TablaProductos[],2,FALSE),"NO EXISTE")</calculatedColumnFormula>
    </tableColumn>
    <tableColumn id="3" xr3:uid="{5FC71728-C027-4A36-A5EB-B442581DC842}" name="Fecha">
      <calculatedColumnFormula>TODAY()</calculatedColumnFormula>
    </tableColumn>
    <tableColumn id="4" xr3:uid="{22A755F0-5FEF-48FA-9599-7CB4CFBA0A07}" name="Cantidad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B210E67-0B4A-42D7-AAB8-0C1C484C4CA1}" name="TablaSalidas" displayName="TablaSalidas" ref="L8:O14" totalsRowShown="0">
  <autoFilter ref="L8:O14" xr:uid="{EB210E67-0B4A-42D7-AAB8-0C1C484C4CA1}"/>
  <tableColumns count="4">
    <tableColumn id="1" xr3:uid="{8A172D1B-7070-4CAD-AB43-4DD998D93F87}" name="Codigo"/>
    <tableColumn id="2" xr3:uid="{19E555AA-5CC9-4CA8-93FD-8083EB7F758D}" name="Articulo">
      <calculatedColumnFormula>IFERROR(VLOOKUP(TablaSalidas[[#This Row],[Codigo]],TablaProductos[],2,FALSE),"NO EXISTE")</calculatedColumnFormula>
    </tableColumn>
    <tableColumn id="3" xr3:uid="{D791E0AE-D322-4E86-A240-0EAFDB85AF68}" name="Fecha"/>
    <tableColumn id="4" xr3:uid="{C1F40DFB-C235-43F8-BCC0-6AEA4019929C}" name="Cantidad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5A7597-3F45-45F8-A418-5DA2072E9F5D}" name="TablaServicios" displayName="TablaServicios" ref="A7:G18" insertRowShift="1" totalsRowShown="0">
  <autoFilter ref="A7:G18" xr:uid="{A55A7597-3F45-45F8-A418-5DA2072E9F5D}"/>
  <tableColumns count="7">
    <tableColumn id="1" xr3:uid="{88F5E495-1582-462E-8B79-F58261C43897}" name="FECHA" dataDxfId="4"/>
    <tableColumn id="2" xr3:uid="{96C785D9-FA0C-49DD-B32F-EF6CADA82AAD}" name="NOMBRE DEL TRABAJADOR"/>
    <tableColumn id="3" xr3:uid="{BA2F84B9-03C3-4989-B1DB-E4000223E495}" name="DESCRIPCION DEL SERVICIO"/>
    <tableColumn id="4" xr3:uid="{B162A760-A120-42D1-A313-4497C2EF9BC4}" name="VALOR DEL SERVICIO" dataDxfId="3"/>
    <tableColumn id="5" xr3:uid="{0CDEA1BC-4106-4074-A5C9-78B087A39209}" name="% DEL TRABAJADOR" dataDxfId="2"/>
    <tableColumn id="6" xr3:uid="{BEE4FF8C-8596-4195-9F8F-C776259425EB}" name="VALOR TRABADOR" dataDxfId="1">
      <calculatedColumnFormula>TablaServicios[[#This Row],[VALOR DEL SERVICIO]]*TablaServicios[[#This Row],[% DEL TRABAJADOR]]</calculatedColumnFormula>
    </tableColumn>
    <tableColumn id="7" xr3:uid="{311DF038-C529-495C-BC61-B44366B9022F}" name="VALOR LOCAL" dataDxfId="0">
      <calculatedColumnFormula>TablaServicios[[#This Row],[VALOR DEL SERVICIO]]-TablaServicios[[#This Row],[VALOR TRABADOR]]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EE2E1-8481-41C5-821F-314569DF350B}">
  <sheetPr codeName="Hoja1"/>
  <dimension ref="A1:O36"/>
  <sheetViews>
    <sheetView zoomScaleNormal="100" workbookViewId="0"/>
  </sheetViews>
  <sheetFormatPr baseColWidth="10" defaultRowHeight="15" x14ac:dyDescent="0.25"/>
  <cols>
    <col min="2" max="2" width="19.140625" bestFit="1" customWidth="1"/>
    <col min="3" max="3" width="20.28515625" customWidth="1"/>
    <col min="6" max="6" width="1.85546875" style="1" customWidth="1"/>
    <col min="8" max="8" width="17.7109375" bestFit="1" customWidth="1"/>
    <col min="9" max="9" width="11.85546875" bestFit="1" customWidth="1"/>
    <col min="11" max="11" width="1.85546875" style="1" customWidth="1"/>
    <col min="13" max="13" width="17.7109375" bestFit="1" customWidth="1"/>
    <col min="15" max="15" width="11.42578125" customWidth="1"/>
  </cols>
  <sheetData>
    <row r="1" spans="1:15" s="1" customFormat="1" x14ac:dyDescent="0.25"/>
    <row r="2" spans="1:15" s="1" customFormat="1" x14ac:dyDescent="0.25"/>
    <row r="3" spans="1:15" s="1" customFormat="1" x14ac:dyDescent="0.25"/>
    <row r="4" spans="1:15" s="1" customFormat="1" x14ac:dyDescent="0.25"/>
    <row r="5" spans="1:15" x14ac:dyDescent="0.25">
      <c r="A5" s="7"/>
      <c r="B5" s="7"/>
      <c r="C5" s="7"/>
      <c r="D5" s="7"/>
      <c r="E5" s="7"/>
      <c r="G5" s="8"/>
      <c r="H5" s="8"/>
      <c r="I5" s="8"/>
      <c r="J5" s="8"/>
      <c r="L5" s="9"/>
      <c r="M5" s="9"/>
      <c r="N5" s="9"/>
      <c r="O5" s="9"/>
    </row>
    <row r="6" spans="1:15" x14ac:dyDescent="0.25">
      <c r="A6" s="7"/>
      <c r="B6" s="7"/>
      <c r="C6" s="7"/>
      <c r="D6" s="7"/>
      <c r="E6" s="7"/>
      <c r="G6" s="8"/>
      <c r="H6" s="8"/>
      <c r="I6" s="8"/>
      <c r="J6" s="8"/>
      <c r="L6" s="9"/>
      <c r="M6" s="9"/>
      <c r="N6" s="9"/>
      <c r="O6" s="9"/>
    </row>
    <row r="7" spans="1:15" x14ac:dyDescent="0.25">
      <c r="A7" s="7"/>
      <c r="B7" s="7"/>
      <c r="C7" s="7"/>
      <c r="D7" s="7"/>
      <c r="E7" s="7"/>
      <c r="G7" s="8"/>
      <c r="H7" s="8"/>
      <c r="I7" s="8"/>
      <c r="J7" s="8"/>
      <c r="L7" s="9"/>
      <c r="M7" s="9"/>
      <c r="N7" s="9"/>
      <c r="O7" s="9"/>
    </row>
    <row r="8" spans="1:15" x14ac:dyDescent="0.25">
      <c r="A8" t="s">
        <v>0</v>
      </c>
      <c r="B8" t="s">
        <v>1</v>
      </c>
      <c r="C8" t="s">
        <v>32</v>
      </c>
      <c r="D8" t="s">
        <v>38</v>
      </c>
      <c r="E8" t="s">
        <v>33</v>
      </c>
      <c r="G8" t="s">
        <v>34</v>
      </c>
      <c r="H8" t="s">
        <v>35</v>
      </c>
      <c r="I8" t="s">
        <v>36</v>
      </c>
      <c r="J8" t="s">
        <v>37</v>
      </c>
      <c r="L8" t="s">
        <v>34</v>
      </c>
      <c r="M8" t="s">
        <v>35</v>
      </c>
      <c r="N8" t="s">
        <v>36</v>
      </c>
      <c r="O8" t="s">
        <v>37</v>
      </c>
    </row>
    <row r="9" spans="1:15" x14ac:dyDescent="0.25">
      <c r="A9" t="s">
        <v>2</v>
      </c>
      <c r="B9" t="s">
        <v>3</v>
      </c>
      <c r="C9">
        <f>SUMIF(TablaEntradas[Codigo], TablaProductos[[#This Row],[Código]], TablaEntradas[Cantidad])</f>
        <v>250</v>
      </c>
      <c r="D9">
        <f>SUMIF(TablaSalidas[Codigo], TablaProductos[[#This Row],[Código]], TablaSalidas[Cantidad])</f>
        <v>6</v>
      </c>
      <c r="E9">
        <f>TablaProductos[[#This Row],[Entradas]]-TablaProductos[[#This Row],[Salidas]]</f>
        <v>244</v>
      </c>
      <c r="G9" t="s">
        <v>2</v>
      </c>
      <c r="H9" t="str">
        <f>IFERROR(VLOOKUP(TablaEntradas[[#This Row],[Codigo]],TablaProductos[],2,FALSE),"NO EXISTE")</f>
        <v>Detergente</v>
      </c>
      <c r="I9" s="3">
        <f ca="1">TODAY()</f>
        <v>45449</v>
      </c>
      <c r="J9">
        <v>120</v>
      </c>
      <c r="L9" t="s">
        <v>8</v>
      </c>
      <c r="M9" t="str">
        <f>IFERROR(VLOOKUP(TablaSalidas[[#This Row],[Codigo]],TablaProductos[],2,FALSE),"NO EXISTE")</f>
        <v>Jabón líquido</v>
      </c>
      <c r="N9" s="3">
        <v>45292</v>
      </c>
      <c r="O9">
        <v>3</v>
      </c>
    </row>
    <row r="10" spans="1:15" x14ac:dyDescent="0.25">
      <c r="A10" t="s">
        <v>4</v>
      </c>
      <c r="B10" t="s">
        <v>5</v>
      </c>
      <c r="C10">
        <f>SUMIF(TablaEntradas[Codigo], TablaProductos[[#This Row],[Código]], TablaEntradas[Cantidad])</f>
        <v>0</v>
      </c>
      <c r="D10">
        <f>SUMIF(TablaSalidas[Codigo], TablaProductos[[#This Row],[Código]], TablaSalidas[Cantidad])</f>
        <v>0</v>
      </c>
      <c r="E10">
        <f>TablaProductos[[#This Row],[Entradas]]-TablaProductos[[#This Row],[Salidas]]</f>
        <v>0</v>
      </c>
      <c r="G10" t="s">
        <v>14</v>
      </c>
      <c r="H10" t="str">
        <f>IFERROR(VLOOKUP(TablaEntradas[[#This Row],[Codigo]],TablaProductos[],2,FALSE),"NO EXISTE")</f>
        <v>Limpiador de pisos</v>
      </c>
      <c r="I10" s="3">
        <f t="shared" ref="I10:I13" ca="1" si="0">TODAY()</f>
        <v>45449</v>
      </c>
      <c r="J10">
        <v>150</v>
      </c>
      <c r="L10" t="s">
        <v>14</v>
      </c>
      <c r="M10" t="str">
        <f>IFERROR(VLOOKUP(TablaSalidas[[#This Row],[Codigo]],TablaProductos[],2,FALSE),"NO EXISTE")</f>
        <v>Limpiador de pisos</v>
      </c>
      <c r="N10" s="3">
        <v>45293</v>
      </c>
      <c r="O10">
        <v>5</v>
      </c>
    </row>
    <row r="11" spans="1:15" x14ac:dyDescent="0.25">
      <c r="A11" t="s">
        <v>6</v>
      </c>
      <c r="B11" t="s">
        <v>7</v>
      </c>
      <c r="C11">
        <f>SUMIF(TablaEntradas[Codigo], TablaProductos[[#This Row],[Código]], TablaEntradas[Cantidad])</f>
        <v>0</v>
      </c>
      <c r="D11">
        <f>SUMIF(TablaSalidas[Codigo], TablaProductos[[#This Row],[Código]], TablaSalidas[Cantidad])</f>
        <v>0</v>
      </c>
      <c r="E11">
        <f>TablaProductos[[#This Row],[Entradas]]-TablaProductos[[#This Row],[Salidas]]</f>
        <v>0</v>
      </c>
      <c r="G11" t="s">
        <v>18</v>
      </c>
      <c r="H11" t="str">
        <f>IFERROR(VLOOKUP(TablaEntradas[[#This Row],[Codigo]],TablaProductos[],2,FALSE),"NO EXISTE")</f>
        <v>Escobas</v>
      </c>
      <c r="I11" s="3">
        <f t="shared" ca="1" si="0"/>
        <v>45449</v>
      </c>
      <c r="J11">
        <v>100</v>
      </c>
      <c r="L11" t="s">
        <v>18</v>
      </c>
      <c r="M11" t="str">
        <f>IFERROR(VLOOKUP(TablaSalidas[[#This Row],[Codigo]],TablaProductos[],2,FALSE),"NO EXISTE")</f>
        <v>Escobas</v>
      </c>
      <c r="N11" s="3">
        <v>45294</v>
      </c>
      <c r="O11">
        <v>9</v>
      </c>
    </row>
    <row r="12" spans="1:15" x14ac:dyDescent="0.25">
      <c r="A12" t="s">
        <v>8</v>
      </c>
      <c r="B12" t="s">
        <v>9</v>
      </c>
      <c r="C12">
        <f>SUMIF(TablaEntradas[Codigo], TablaProductos[[#This Row],[Código]], TablaEntradas[Cantidad])</f>
        <v>90</v>
      </c>
      <c r="D12">
        <f>SUMIF(TablaSalidas[Codigo], TablaProductos[[#This Row],[Código]], TablaSalidas[Cantidad])</f>
        <v>9</v>
      </c>
      <c r="E12">
        <f>TablaProductos[[#This Row],[Entradas]]-TablaProductos[[#This Row],[Salidas]]</f>
        <v>81</v>
      </c>
      <c r="G12" t="s">
        <v>2</v>
      </c>
      <c r="H12" t="str">
        <f>IFERROR(VLOOKUP(TablaEntradas[[#This Row],[Codigo]],TablaProductos[],2,FALSE),"NO EXISTE")</f>
        <v>Detergente</v>
      </c>
      <c r="I12" s="3">
        <f t="shared" ca="1" si="0"/>
        <v>45449</v>
      </c>
      <c r="J12">
        <v>130</v>
      </c>
      <c r="L12" t="s">
        <v>8</v>
      </c>
      <c r="M12" t="str">
        <f>IFERROR(VLOOKUP(TablaSalidas[[#This Row],[Codigo]],TablaProductos[],2,FALSE),"NO EXISTE")</f>
        <v>Jabón líquido</v>
      </c>
      <c r="N12" s="3">
        <v>45294</v>
      </c>
      <c r="O12">
        <v>6</v>
      </c>
    </row>
    <row r="13" spans="1:15" x14ac:dyDescent="0.25">
      <c r="A13" t="s">
        <v>10</v>
      </c>
      <c r="B13" t="s">
        <v>11</v>
      </c>
      <c r="C13">
        <f>SUMIF(TablaEntradas[Codigo], TablaProductos[[#This Row],[Código]], TablaEntradas[Cantidad])</f>
        <v>200</v>
      </c>
      <c r="D13">
        <f>SUMIF(TablaSalidas[Codigo], TablaProductos[[#This Row],[Código]], TablaSalidas[Cantidad])</f>
        <v>0</v>
      </c>
      <c r="E13">
        <f>TablaProductos[[#This Row],[Entradas]]-TablaProductos[[#This Row],[Salidas]]</f>
        <v>200</v>
      </c>
      <c r="G13" t="s">
        <v>18</v>
      </c>
      <c r="H13" t="str">
        <f>IFERROR(VLOOKUP(TablaEntradas[[#This Row],[Codigo]],TablaProductos[],2,FALSE),"NO EXISTE")</f>
        <v>Escobas</v>
      </c>
      <c r="I13" s="3">
        <f t="shared" ca="1" si="0"/>
        <v>45449</v>
      </c>
      <c r="J13">
        <v>140</v>
      </c>
      <c r="L13" t="s">
        <v>14</v>
      </c>
      <c r="M13" t="str">
        <f>IFERROR(VLOOKUP(TablaSalidas[[#This Row],[Codigo]],TablaProductos[],2,FALSE),"NO EXISTE")</f>
        <v>Limpiador de pisos</v>
      </c>
      <c r="N13" s="3">
        <v>45294</v>
      </c>
      <c r="O13">
        <v>2</v>
      </c>
    </row>
    <row r="14" spans="1:15" x14ac:dyDescent="0.25">
      <c r="A14" t="s">
        <v>12</v>
      </c>
      <c r="B14" t="s">
        <v>13</v>
      </c>
      <c r="C14">
        <f>SUMIF(TablaEntradas[Codigo], TablaProductos[[#This Row],[Código]], TablaEntradas[Cantidad])</f>
        <v>0</v>
      </c>
      <c r="D14">
        <f>SUMIF(TablaSalidas[Codigo], TablaProductos[[#This Row],[Código]], TablaSalidas[Cantidad])</f>
        <v>0</v>
      </c>
      <c r="E14">
        <f>TablaProductos[[#This Row],[Entradas]]-TablaProductos[[#This Row],[Salidas]]</f>
        <v>0</v>
      </c>
      <c r="G14" t="s">
        <v>8</v>
      </c>
      <c r="H14" t="str">
        <f>IFERROR(VLOOKUP(TablaEntradas[[#This Row],[Codigo]],TablaProductos[],2,FALSE),"NO EXISTE")</f>
        <v>Jabón líquido</v>
      </c>
      <c r="I14">
        <f ca="1">TODAY()</f>
        <v>45449</v>
      </c>
      <c r="J14">
        <v>90</v>
      </c>
      <c r="L14" t="s">
        <v>2</v>
      </c>
      <c r="M14" t="str">
        <f>IFERROR(VLOOKUP(TablaSalidas[[#This Row],[Codigo]],TablaProductos[],2,FALSE),"NO EXISTE")</f>
        <v>Detergente</v>
      </c>
      <c r="N14" s="3">
        <v>45294</v>
      </c>
      <c r="O14">
        <v>6</v>
      </c>
    </row>
    <row r="15" spans="1:15" x14ac:dyDescent="0.25">
      <c r="A15" t="s">
        <v>14</v>
      </c>
      <c r="B15" t="s">
        <v>15</v>
      </c>
      <c r="C15">
        <f>SUMIF(TablaEntradas[Codigo], TablaProductos[[#This Row],[Código]], TablaEntradas[Cantidad])</f>
        <v>150</v>
      </c>
      <c r="D15">
        <f>SUMIF(TablaSalidas[Codigo], TablaProductos[[#This Row],[Código]], TablaSalidas[Cantidad])</f>
        <v>7</v>
      </c>
      <c r="E15">
        <f>TablaProductos[[#This Row],[Entradas]]-TablaProductos[[#This Row],[Salidas]]</f>
        <v>143</v>
      </c>
      <c r="G15" t="s">
        <v>10</v>
      </c>
      <c r="H15" t="str">
        <f>IFERROR(VLOOKUP(TablaEntradas[[#This Row],[Codigo]],TablaProductos[],2,FALSE),"NO EXISTE")</f>
        <v>Cloro</v>
      </c>
      <c r="I15">
        <f ca="1">TODAY()</f>
        <v>45449</v>
      </c>
      <c r="J15">
        <v>200</v>
      </c>
    </row>
    <row r="16" spans="1:15" x14ac:dyDescent="0.25">
      <c r="A16" t="s">
        <v>16</v>
      </c>
      <c r="B16" t="s">
        <v>17</v>
      </c>
      <c r="C16">
        <f>SUMIF(TablaEntradas[Codigo], TablaProductos[[#This Row],[Código]], TablaEntradas[Cantidad])</f>
        <v>0</v>
      </c>
      <c r="D16">
        <f>SUMIF(TablaSalidas[Codigo], TablaProductos[[#This Row],[Código]], TablaSalidas[Cantidad])</f>
        <v>0</v>
      </c>
      <c r="E16">
        <f>TablaProductos[[#This Row],[Entradas]]-TablaProductos[[#This Row],[Salidas]]</f>
        <v>0</v>
      </c>
    </row>
    <row r="17" spans="1:5" x14ac:dyDescent="0.25">
      <c r="A17" t="s">
        <v>18</v>
      </c>
      <c r="B17" t="s">
        <v>19</v>
      </c>
      <c r="C17">
        <f>SUMIF(TablaEntradas[Codigo], TablaProductos[[#This Row],[Código]], TablaEntradas[Cantidad])</f>
        <v>240</v>
      </c>
      <c r="D17">
        <f>SUMIF(TablaSalidas[Codigo], TablaProductos[[#This Row],[Código]], TablaSalidas[Cantidad])</f>
        <v>9</v>
      </c>
      <c r="E17">
        <f>TablaProductos[[#This Row],[Entradas]]-TablaProductos[[#This Row],[Salidas]]</f>
        <v>231</v>
      </c>
    </row>
    <row r="18" spans="1:5" x14ac:dyDescent="0.25">
      <c r="A18" t="s">
        <v>20</v>
      </c>
      <c r="B18" t="s">
        <v>21</v>
      </c>
      <c r="C18">
        <f>SUMIF(TablaEntradas[Codigo], TablaProductos[[#This Row],[Código]], TablaEntradas[Cantidad])</f>
        <v>0</v>
      </c>
      <c r="D18">
        <f>SUMIF(TablaSalidas[Codigo], TablaProductos[[#This Row],[Código]], TablaSalidas[Cantidad])</f>
        <v>0</v>
      </c>
      <c r="E18">
        <f>TablaProductos[[#This Row],[Entradas]]-TablaProductos[[#This Row],[Salidas]]</f>
        <v>0</v>
      </c>
    </row>
    <row r="19" spans="1:5" x14ac:dyDescent="0.25">
      <c r="A19" t="s">
        <v>22</v>
      </c>
      <c r="B19" t="s">
        <v>23</v>
      </c>
      <c r="C19">
        <f>SUMIF(TablaEntradas[Codigo], TablaProductos[[#This Row],[Código]], TablaEntradas[Cantidad])</f>
        <v>0</v>
      </c>
      <c r="D19">
        <f>SUMIF(TablaSalidas[Codigo], TablaProductos[[#This Row],[Código]], TablaSalidas[Cantidad])</f>
        <v>0</v>
      </c>
      <c r="E19">
        <f>TablaProductos[[#This Row],[Entradas]]-TablaProductos[[#This Row],[Salidas]]</f>
        <v>0</v>
      </c>
    </row>
    <row r="20" spans="1:5" x14ac:dyDescent="0.25">
      <c r="A20" t="s">
        <v>24</v>
      </c>
      <c r="B20" t="s">
        <v>25</v>
      </c>
      <c r="C20">
        <f>SUMIF(TablaEntradas[Codigo], TablaProductos[[#This Row],[Código]], TablaEntradas[Cantidad])</f>
        <v>0</v>
      </c>
      <c r="D20">
        <f>SUMIF(TablaSalidas[Codigo], TablaProductos[[#This Row],[Código]], TablaSalidas[Cantidad])</f>
        <v>0</v>
      </c>
      <c r="E20">
        <f>TablaProductos[[#This Row],[Entradas]]-TablaProductos[[#This Row],[Salidas]]</f>
        <v>0</v>
      </c>
    </row>
    <row r="21" spans="1:5" x14ac:dyDescent="0.25">
      <c r="A21" t="s">
        <v>26</v>
      </c>
      <c r="B21" t="s">
        <v>27</v>
      </c>
      <c r="C21">
        <f>SUMIF(TablaEntradas[Codigo], TablaProductos[[#This Row],[Código]], TablaEntradas[Cantidad])</f>
        <v>0</v>
      </c>
      <c r="D21">
        <f>SUMIF(TablaSalidas[Codigo], TablaProductos[[#This Row],[Código]], TablaSalidas[Cantidad])</f>
        <v>0</v>
      </c>
      <c r="E21">
        <f>TablaProductos[[#This Row],[Entradas]]-TablaProductos[[#This Row],[Salidas]]</f>
        <v>0</v>
      </c>
    </row>
    <row r="22" spans="1:5" x14ac:dyDescent="0.25">
      <c r="A22" t="s">
        <v>28</v>
      </c>
      <c r="B22" t="s">
        <v>29</v>
      </c>
      <c r="C22">
        <f>SUMIF(TablaEntradas[Codigo], TablaProductos[[#This Row],[Código]], TablaEntradas[Cantidad])</f>
        <v>0</v>
      </c>
      <c r="D22">
        <f>SUMIF(TablaSalidas[Codigo], TablaProductos[[#This Row],[Código]], TablaSalidas[Cantidad])</f>
        <v>0</v>
      </c>
      <c r="E22">
        <f>TablaProductos[[#This Row],[Entradas]]-TablaProductos[[#This Row],[Salidas]]</f>
        <v>0</v>
      </c>
    </row>
    <row r="23" spans="1:5" x14ac:dyDescent="0.25">
      <c r="A23" t="s">
        <v>30</v>
      </c>
      <c r="B23" t="s">
        <v>31</v>
      </c>
      <c r="C23">
        <f>SUMIF(TablaEntradas[Codigo], TablaProductos[[#This Row],[Código]], TablaEntradas[Cantidad])</f>
        <v>0</v>
      </c>
      <c r="D23">
        <f>SUMIF(TablaSalidas[Codigo], TablaProductos[[#This Row],[Código]], TablaSalidas[Cantidad])</f>
        <v>0</v>
      </c>
      <c r="E23">
        <f>TablaProductos[[#This Row],[Entradas]]-TablaProductos[[#This Row],[Salidas]]</f>
        <v>0</v>
      </c>
    </row>
    <row r="26" spans="1:5" x14ac:dyDescent="0.25">
      <c r="C26" s="2"/>
      <c r="D26" s="2"/>
      <c r="E26" s="2"/>
    </row>
    <row r="27" spans="1:5" x14ac:dyDescent="0.25">
      <c r="C27" s="2"/>
      <c r="D27" s="2"/>
      <c r="E27" s="2"/>
    </row>
    <row r="28" spans="1:5" x14ac:dyDescent="0.25">
      <c r="C28" s="2"/>
      <c r="D28" s="2"/>
      <c r="E28" s="2"/>
    </row>
    <row r="29" spans="1:5" x14ac:dyDescent="0.25">
      <c r="C29" s="2"/>
      <c r="D29" s="2"/>
      <c r="E29" s="2"/>
    </row>
    <row r="30" spans="1:5" x14ac:dyDescent="0.25">
      <c r="C30" s="2"/>
      <c r="D30" s="2"/>
      <c r="E30" s="2"/>
    </row>
    <row r="31" spans="1:5" x14ac:dyDescent="0.25">
      <c r="C31" s="2"/>
      <c r="D31" s="2"/>
      <c r="E31" s="2"/>
    </row>
    <row r="32" spans="1:5" x14ac:dyDescent="0.25">
      <c r="C32" s="2"/>
      <c r="D32" s="2"/>
      <c r="E32" s="2"/>
    </row>
    <row r="33" spans="3:5" x14ac:dyDescent="0.25">
      <c r="C33" s="2"/>
      <c r="D33" s="2"/>
      <c r="E33" s="2"/>
    </row>
    <row r="34" spans="3:5" x14ac:dyDescent="0.25">
      <c r="C34" s="2"/>
      <c r="D34" s="2"/>
      <c r="E34" s="2"/>
    </row>
    <row r="35" spans="3:5" x14ac:dyDescent="0.25">
      <c r="C35" s="2"/>
      <c r="D35" s="2"/>
      <c r="E35" s="2"/>
    </row>
    <row r="36" spans="3:5" x14ac:dyDescent="0.25">
      <c r="C36" s="2"/>
      <c r="D36" s="2"/>
      <c r="E36" s="2"/>
    </row>
  </sheetData>
  <phoneticPr fontId="1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281B1-FDC6-4DB8-98BE-77D5D2F71C63}">
  <sheetPr codeName="Hoja3"/>
  <dimension ref="A1:G18"/>
  <sheetViews>
    <sheetView showGridLines="0" tabSelected="1" workbookViewId="0">
      <selection activeCell="C16" sqref="C16"/>
    </sheetView>
  </sheetViews>
  <sheetFormatPr baseColWidth="10" defaultRowHeight="15" x14ac:dyDescent="0.25"/>
  <cols>
    <col min="1" max="1" width="10.7109375" bestFit="1" customWidth="1"/>
    <col min="2" max="2" width="26.85546875" customWidth="1"/>
    <col min="3" max="3" width="35.28515625" bestFit="1" customWidth="1"/>
    <col min="4" max="4" width="21.28515625" customWidth="1"/>
    <col min="5" max="5" width="20.42578125" style="6" customWidth="1"/>
    <col min="6" max="6" width="19.5703125" style="5" bestFit="1" customWidth="1"/>
    <col min="7" max="7" width="15.28515625" bestFit="1" customWidth="1"/>
  </cols>
  <sheetData>
    <row r="1" spans="1:7" s="1" customFormat="1" x14ac:dyDescent="0.25">
      <c r="E1" s="11"/>
      <c r="F1" s="10"/>
    </row>
    <row r="2" spans="1:7" s="1" customFormat="1" x14ac:dyDescent="0.25">
      <c r="E2" s="11"/>
      <c r="F2" s="10"/>
    </row>
    <row r="3" spans="1:7" s="1" customFormat="1" x14ac:dyDescent="0.25">
      <c r="E3" s="11"/>
      <c r="F3" s="10"/>
    </row>
    <row r="4" spans="1:7" s="1" customFormat="1" ht="15" customHeight="1" x14ac:dyDescent="0.25">
      <c r="E4" s="11"/>
      <c r="F4" s="10"/>
    </row>
    <row r="5" spans="1:7" ht="26.25" customHeight="1" x14ac:dyDescent="0.25">
      <c r="A5" s="12" t="s">
        <v>39</v>
      </c>
      <c r="B5" s="12"/>
      <c r="C5" s="12"/>
      <c r="D5" s="12"/>
      <c r="E5" s="13"/>
      <c r="F5" s="4" t="s">
        <v>40</v>
      </c>
      <c r="G5" s="14" t="s">
        <v>41</v>
      </c>
    </row>
    <row r="6" spans="1:7" ht="15" customHeight="1" x14ac:dyDescent="0.25">
      <c r="A6" s="12"/>
      <c r="B6" s="12"/>
      <c r="C6" s="12"/>
      <c r="D6" s="12"/>
      <c r="E6" s="13"/>
      <c r="F6" s="4">
        <f>SUBTOTAL(9,TablaServicios[VALOR TRABADOR])</f>
        <v>961.5</v>
      </c>
      <c r="G6" s="14">
        <f>SUBTOTAL(9,TablaServicios[VALOR LOCAL])</f>
        <v>2538.5</v>
      </c>
    </row>
    <row r="7" spans="1:7" x14ac:dyDescent="0.25">
      <c r="A7" t="s">
        <v>42</v>
      </c>
      <c r="B7" t="s">
        <v>43</v>
      </c>
      <c r="C7" t="s">
        <v>44</v>
      </c>
      <c r="D7" s="5" t="s">
        <v>45</v>
      </c>
      <c r="E7" s="6" t="s">
        <v>46</v>
      </c>
      <c r="F7" s="5" t="s">
        <v>66</v>
      </c>
      <c r="G7" s="5" t="s">
        <v>47</v>
      </c>
    </row>
    <row r="8" spans="1:7" x14ac:dyDescent="0.25">
      <c r="A8" s="3">
        <v>45413</v>
      </c>
      <c r="B8" t="s">
        <v>48</v>
      </c>
      <c r="C8" t="s">
        <v>49</v>
      </c>
      <c r="D8" s="5">
        <v>200</v>
      </c>
      <c r="E8" s="6">
        <v>0.3</v>
      </c>
      <c r="F8" s="5">
        <f>TablaServicios[[#This Row],[VALOR DEL SERVICIO]]*TablaServicios[[#This Row],[% DEL TRABAJADOR]]</f>
        <v>60</v>
      </c>
      <c r="G8" s="5">
        <f>TablaServicios[[#This Row],[VALOR DEL SERVICIO]]-TablaServicios[[#This Row],[VALOR TRABADOR]]</f>
        <v>140</v>
      </c>
    </row>
    <row r="9" spans="1:7" x14ac:dyDescent="0.25">
      <c r="A9" s="3">
        <v>45414</v>
      </c>
      <c r="B9" t="s">
        <v>50</v>
      </c>
      <c r="C9" t="s">
        <v>51</v>
      </c>
      <c r="D9" s="5">
        <v>300</v>
      </c>
      <c r="E9" s="6">
        <v>0.25</v>
      </c>
      <c r="F9" s="5">
        <f>TablaServicios[[#This Row],[VALOR DEL SERVICIO]]*TablaServicios[[#This Row],[% DEL TRABAJADOR]]</f>
        <v>75</v>
      </c>
      <c r="G9" s="5">
        <f>TablaServicios[[#This Row],[VALOR DEL SERVICIO]]-TablaServicios[[#This Row],[VALOR TRABADOR]]</f>
        <v>225</v>
      </c>
    </row>
    <row r="10" spans="1:7" x14ac:dyDescent="0.25">
      <c r="A10" s="3">
        <v>45415</v>
      </c>
      <c r="B10" t="s">
        <v>52</v>
      </c>
      <c r="C10" t="s">
        <v>53</v>
      </c>
      <c r="D10" s="5">
        <v>500</v>
      </c>
      <c r="E10" s="6">
        <v>0.2</v>
      </c>
      <c r="F10" s="5">
        <f>TablaServicios[[#This Row],[VALOR DEL SERVICIO]]*TablaServicios[[#This Row],[% DEL TRABAJADOR]]</f>
        <v>100</v>
      </c>
      <c r="G10" s="5">
        <f>TablaServicios[[#This Row],[VALOR DEL SERVICIO]]-TablaServicios[[#This Row],[VALOR TRABADOR]]</f>
        <v>400</v>
      </c>
    </row>
    <row r="11" spans="1:7" x14ac:dyDescent="0.25">
      <c r="A11" s="3">
        <v>45416</v>
      </c>
      <c r="B11" t="s">
        <v>54</v>
      </c>
      <c r="C11" t="s">
        <v>55</v>
      </c>
      <c r="D11" s="5">
        <v>320</v>
      </c>
      <c r="E11" s="6">
        <v>0.35</v>
      </c>
      <c r="F11" s="5">
        <f>TablaServicios[[#This Row],[VALOR DEL SERVICIO]]*TablaServicios[[#This Row],[% DEL TRABAJADOR]]</f>
        <v>112</v>
      </c>
      <c r="G11" s="5">
        <f>TablaServicios[[#This Row],[VALOR DEL SERVICIO]]-TablaServicios[[#This Row],[VALOR TRABADOR]]</f>
        <v>208</v>
      </c>
    </row>
    <row r="12" spans="1:7" x14ac:dyDescent="0.25">
      <c r="A12" s="3">
        <v>45417</v>
      </c>
      <c r="B12" t="s">
        <v>56</v>
      </c>
      <c r="C12" t="s">
        <v>57</v>
      </c>
      <c r="D12" s="5">
        <v>410</v>
      </c>
      <c r="E12" s="6">
        <v>0.4</v>
      </c>
      <c r="F12" s="5">
        <f>TablaServicios[[#This Row],[VALOR DEL SERVICIO]]*TablaServicios[[#This Row],[% DEL TRABAJADOR]]</f>
        <v>164</v>
      </c>
      <c r="G12" s="5">
        <f>TablaServicios[[#This Row],[VALOR DEL SERVICIO]]-TablaServicios[[#This Row],[VALOR TRABADOR]]</f>
        <v>246</v>
      </c>
    </row>
    <row r="13" spans="1:7" x14ac:dyDescent="0.25">
      <c r="A13" s="3">
        <v>45418</v>
      </c>
      <c r="B13" t="s">
        <v>58</v>
      </c>
      <c r="C13" t="s">
        <v>59</v>
      </c>
      <c r="D13" s="5">
        <v>350</v>
      </c>
      <c r="E13" s="6">
        <v>0.3</v>
      </c>
      <c r="F13" s="5">
        <f>TablaServicios[[#This Row],[VALOR DEL SERVICIO]]*TablaServicios[[#This Row],[% DEL TRABAJADOR]]</f>
        <v>105</v>
      </c>
      <c r="G13" s="5">
        <f>TablaServicios[[#This Row],[VALOR DEL SERVICIO]]-TablaServicios[[#This Row],[VALOR TRABADOR]]</f>
        <v>245</v>
      </c>
    </row>
    <row r="14" spans="1:7" x14ac:dyDescent="0.25">
      <c r="A14" s="3">
        <v>45419</v>
      </c>
      <c r="B14" t="s">
        <v>60</v>
      </c>
      <c r="C14" t="s">
        <v>61</v>
      </c>
      <c r="D14" s="5">
        <v>360</v>
      </c>
      <c r="E14" s="6">
        <v>0.25</v>
      </c>
      <c r="F14" s="5">
        <f>TablaServicios[[#This Row],[VALOR DEL SERVICIO]]*TablaServicios[[#This Row],[% DEL TRABAJADOR]]</f>
        <v>90</v>
      </c>
      <c r="G14" s="5">
        <f>TablaServicios[[#This Row],[VALOR DEL SERVICIO]]-TablaServicios[[#This Row],[VALOR TRABADOR]]</f>
        <v>270</v>
      </c>
    </row>
    <row r="15" spans="1:7" x14ac:dyDescent="0.25">
      <c r="A15" s="3">
        <v>45420</v>
      </c>
      <c r="B15" t="s">
        <v>62</v>
      </c>
      <c r="C15" t="s">
        <v>63</v>
      </c>
      <c r="D15" s="5">
        <v>270</v>
      </c>
      <c r="E15" s="6">
        <v>0.2</v>
      </c>
      <c r="F15" s="5">
        <f>TablaServicios[[#This Row],[VALOR DEL SERVICIO]]*TablaServicios[[#This Row],[% DEL TRABAJADOR]]</f>
        <v>54</v>
      </c>
      <c r="G15" s="5">
        <f>TablaServicios[[#This Row],[VALOR DEL SERVICIO]]-TablaServicios[[#This Row],[VALOR TRABADOR]]</f>
        <v>216</v>
      </c>
    </row>
    <row r="16" spans="1:7" x14ac:dyDescent="0.25">
      <c r="A16" s="3">
        <v>45421</v>
      </c>
      <c r="B16" t="s">
        <v>64</v>
      </c>
      <c r="C16" t="s">
        <v>65</v>
      </c>
      <c r="D16" s="5">
        <v>145</v>
      </c>
      <c r="E16" s="6">
        <v>0.35</v>
      </c>
      <c r="F16" s="5">
        <f>TablaServicios[[#This Row],[VALOR DEL SERVICIO]]*TablaServicios[[#This Row],[% DEL TRABAJADOR]]</f>
        <v>50.75</v>
      </c>
      <c r="G16" s="5">
        <f>TablaServicios[[#This Row],[VALOR DEL SERVICIO]]-TablaServicios[[#This Row],[VALOR TRABADOR]]</f>
        <v>94.25</v>
      </c>
    </row>
    <row r="17" spans="1:7" x14ac:dyDescent="0.25">
      <c r="A17" s="3">
        <v>45421</v>
      </c>
      <c r="B17" t="s">
        <v>67</v>
      </c>
      <c r="C17" t="s">
        <v>53</v>
      </c>
      <c r="D17" s="5">
        <v>500</v>
      </c>
      <c r="E17" s="6">
        <v>0.2</v>
      </c>
      <c r="F17" s="5">
        <f>TablaServicios[[#This Row],[VALOR DEL SERVICIO]]*TablaServicios[[#This Row],[% DEL TRABAJADOR]]</f>
        <v>100</v>
      </c>
      <c r="G17" s="5">
        <f>TablaServicios[[#This Row],[VALOR DEL SERVICIO]]-TablaServicios[[#This Row],[VALOR TRABADOR]]</f>
        <v>400</v>
      </c>
    </row>
    <row r="18" spans="1:7" x14ac:dyDescent="0.25">
      <c r="A18" s="3">
        <v>45422</v>
      </c>
      <c r="B18" t="s">
        <v>68</v>
      </c>
      <c r="C18" t="s">
        <v>65</v>
      </c>
      <c r="D18" s="5">
        <v>145</v>
      </c>
      <c r="E18" s="6">
        <v>0.35</v>
      </c>
      <c r="F18" s="5">
        <f>TablaServicios[[#This Row],[VALOR DEL SERVICIO]]*TablaServicios[[#This Row],[% DEL TRABAJADOR]]</f>
        <v>50.75</v>
      </c>
      <c r="G18" s="5">
        <f>TablaServicios[[#This Row],[VALOR DEL SERVICIO]]-TablaServicios[[#This Row],[VALOR TRABADOR]]</f>
        <v>94.25</v>
      </c>
    </row>
  </sheetData>
  <mergeCells count="1">
    <mergeCell ref="A5:E6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Inventario</vt:lpstr>
      <vt:lpstr>Servicios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Ntao Matias Mwanga veron</dc:creator>
  <cp:lastModifiedBy>Ntao Matias Mwanga veron</cp:lastModifiedBy>
  <dcterms:created xsi:type="dcterms:W3CDTF">2024-06-04T17:18:49Z</dcterms:created>
  <dcterms:modified xsi:type="dcterms:W3CDTF">2024-06-07T02:45:51Z</dcterms:modified>
</cp:coreProperties>
</file>